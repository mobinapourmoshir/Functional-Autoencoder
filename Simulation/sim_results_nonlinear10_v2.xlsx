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Simulation\"/>
    </mc:Choice>
  </mc:AlternateContent>
  <xr:revisionPtr revIDLastSave="0" documentId="13_ncr:1_{C71A493F-DD3A-4814-B9D0-E3A7D5F15662}" xr6:coauthVersionLast="36" xr6:coauthVersionMax="36" xr10:uidLastSave="{00000000-0000-0000-0000-000000000000}"/>
  <bookViews>
    <workbookView xWindow="0" yWindow="0" windowWidth="23040" windowHeight="10284" xr2:uid="{00000000-000D-0000-FFFF-FFFF00000000}"/>
  </bookViews>
  <sheets>
    <sheet name="raw_results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L14" i="1" l="1"/>
  <c r="K14" i="1"/>
  <c r="F14" i="1"/>
  <c r="E14" i="1"/>
  <c r="L13" i="1"/>
  <c r="K13" i="1"/>
  <c r="J13" i="1"/>
  <c r="I13" i="1"/>
  <c r="F13" i="1"/>
  <c r="E13" i="1"/>
  <c r="D13" i="1"/>
  <c r="C13" i="1"/>
</calcChain>
</file>

<file path=xl/sharedStrings.xml><?xml version="1.0" encoding="utf-8"?>
<sst xmlns="http://schemas.openxmlformats.org/spreadsheetml/2006/main" count="40" uniqueCount="31">
  <si>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</si>
  <si>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</si>
  <si>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</si>
  <si>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</si>
  <si>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</si>
  <si>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</si>
  <si>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fae_train_mse_final_clean</t>
  </si>
  <si>
    <t>fae_val_mse_final_clean</t>
  </si>
  <si>
    <t>fpca_fore_relMSE_vs_clean</t>
  </si>
  <si>
    <t>fpca_fore_relMSE_vs_noisy</t>
  </si>
  <si>
    <t>fae_fore_relMSE_vs_clean</t>
  </si>
  <si>
    <t>fae_fore_relMSE_vs_noisy</t>
  </si>
  <si>
    <t>map_mode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</si>
  <si>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</si>
  <si>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</si>
  <si>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</si>
  <si>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</si>
  <si>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</si>
  <si>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</si>
  <si>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</si>
  <si>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</si>
  <si>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</si>
  <si>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nonlinear</t>
  </si>
  <si>
    <t>fpca_recon_relMSE_vs_clean_mean</t>
  </si>
  <si>
    <t>fpca_recon_relMSE_vs_noisy_mean</t>
  </si>
  <si>
    <t>fae_recon_relMSE_vs_clean_mean</t>
  </si>
  <si>
    <t>fae_recon_relMSE_vs_noisy_mean</t>
  </si>
  <si>
    <t>fpca_fore_relMSE_vs_clean_mean</t>
  </si>
  <si>
    <t>fpca_fore_relMSE_vs_noisy_mean</t>
  </si>
  <si>
    <t>fae_fore_relMSE_vs_clean_mean</t>
  </si>
  <si>
    <t>fae_fore_relMSE_vs_noisy_mean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</si>
</sst>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9" fontId="5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raw_results!$D$1</c:f>
              <c:strCache>
                <c:ptCount val="1"/>
                <c:pt idx="0">
                  <c:v>fpca_recon_relMSE_vs_noisy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raw_results!$D$2:$D$11</c:f>
              <c:numCache>
                <c:formatCode>General</c:formatCode>
                <c:ptCount val="10"/>
                <c:pt idx="0">
                  <c:v>1.6831327229738239E-2</c:v>
                </c:pt>
                <c:pt idx="1">
                  <c:v>1.5438288450241091E-2</c:v>
                </c:pt>
                <c:pt idx="2">
                  <c:v>1.6678342595696449E-2</c:v>
                </c:pt>
                <c:pt idx="3">
                  <c:v>1.3347877189517019E-2</c:v>
                </c:pt>
                <c:pt idx="4">
                  <c:v>1.2111431919038299E-2</c:v>
                </c:pt>
                <c:pt idx="5">
                  <c:v>1.407087314873934E-2</c:v>
                </c:pt>
                <c:pt idx="6">
                  <c:v>1.431888341903687E-2</c:v>
                </c:pt>
                <c:pt idx="7">
                  <c:v>1.53042059391737E-2</c:v>
                </c:pt>
                <c:pt idx="8">
                  <c:v>1.700055971741676E-2</c:v>
                </c:pt>
                <c:pt idx="9">
                  <c:v>1.579013466835022E-2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9-4E63-8DC5-1FE2C930C67D}"/>
            </c:ext>
          </c:extLst>
        </c:ser>
        <c:ser>
          <c:idx val="1"/>
          <c:order val="1"/>
          <c:tx>
            <c:strRef>
              <c:f>raw_results!$F$1</c:f>
              <c:strCache>
                <c:ptCount val="1"/>
                <c:pt idx="0">
                  <c:v>fae_recon_relMSE_vs_noisy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raw_results!$F$2:$F$11</c:f>
              <c:numCache>
                <c:formatCode>General</c:formatCode>
                <c:ptCount val="10"/>
                <c:pt idx="0">
                  <c:v>1.263152062892914E-2</c:v>
                </c:pt>
                <c:pt idx="1">
                  <c:v>8.4557663649320602E-3</c:v>
                </c:pt>
                <c:pt idx="2">
                  <c:v>1.246087718755007E-2</c:v>
                </c:pt>
                <c:pt idx="3">
                  <c:v>5.7735019363462916E-3</c:v>
                </c:pt>
                <c:pt idx="4">
                  <c:v>6.7600859329104424E-3</c:v>
                </c:pt>
                <c:pt idx="5">
                  <c:v>8.4287486970424652E-3</c:v>
                </c:pt>
                <c:pt idx="6">
                  <c:v>1.197297032922506E-2</c:v>
                </c:pt>
                <c:pt idx="7">
                  <c:v>1.173071004450321E-2</c:v>
                </c:pt>
                <c:pt idx="8">
                  <c:v>1.2442706152796751E-2</c:v>
                </c:pt>
                <c:pt idx="9">
                  <c:v>9.3792509287595749E-3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99-4E63-8DC5-1FE2C930C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91903"/>
        <c:axId val="2087687919"/>
      </c:lineChart>
      <c:catAx>
        <c:axId val="81691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687919"/>
        <c:crosses val="autoZero"/>
        <c:auto val="1"/>
        <c:lblAlgn val="ctr"/>
        <c:lblOffset val="100"/>
        <c:noMultiLvlLbl val="0"/>
      </c:catAx>
      <c:valAx>
        <c:axId val="208768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raw_results!$J$1</c:f>
              <c:strCache>
                <c:ptCount val="1"/>
                <c:pt idx="0">
                  <c:v>fpca_fore_relMSE_vs_noisy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raw_results!$J$2:$J$11</c:f>
              <c:numCache>
                <c:formatCode>General</c:formatCode>
                <c:ptCount val="10"/>
                <c:pt idx="0">
                  <c:v>8.535660058259964E-2</c:v>
                </c:pt>
                <c:pt idx="1">
                  <c:v>6.8517722189426422E-2</c:v>
                </c:pt>
                <c:pt idx="2">
                  <c:v>2.5932770222425461E-2</c:v>
                </c:pt>
                <c:pt idx="3">
                  <c:v>7.3548592627048492E-2</c:v>
                </c:pt>
                <c:pt idx="4">
                  <c:v>5.3827747702598572E-2</c:v>
                </c:pt>
                <c:pt idx="5">
                  <c:v>4.5472174882888787E-2</c:v>
                </c:pt>
                <c:pt idx="6">
                  <c:v>0.1026189103722572</c:v>
                </c:pt>
                <c:pt idx="7">
                  <c:v>7.0421025156974792E-2</c:v>
                </c:pt>
                <c:pt idx="8">
                  <c:v>4.1959561407566071E-2</c:v>
                </c:pt>
                <c:pt idx="9">
                  <c:v>6.8236164748668671E-2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A-4959-9A01-0325DD682120}"/>
            </c:ext>
          </c:extLst>
        </c:ser>
        <c:ser>
          <c:idx val="1"/>
          <c:order val="1"/>
          <c:tx>
            <c:strRef>
              <c:f>raw_results!$L$1</c:f>
              <c:strCache>
                <c:ptCount val="1"/>
                <c:pt idx="0">
                  <c:v>fae_fore_relMSE_vs_noisy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raw_results!$L$2:$L$11</c:f>
              <c:numCache>
                <c:formatCode>General</c:formatCode>
                <c:ptCount val="10"/>
                <c:pt idx="0">
                  <c:v>0.11548389494419101</c:v>
                </c:pt>
                <c:pt idx="1">
                  <c:v>5.7703863829374313E-2</c:v>
                </c:pt>
                <c:pt idx="2">
                  <c:v>1.212263200432062E-2</c:v>
                </c:pt>
                <c:pt idx="3">
                  <c:v>7.6830379664897919E-2</c:v>
                </c:pt>
                <c:pt idx="4">
                  <c:v>4.1852429509162903E-2</c:v>
                </c:pt>
                <c:pt idx="5">
                  <c:v>2.6964543387293819E-2</c:v>
                </c:pt>
                <c:pt idx="6">
                  <c:v>9.7542978823184967E-2</c:v>
                </c:pt>
                <c:pt idx="7">
                  <c:v>9.2254132032394409E-2</c:v>
                </c:pt>
                <c:pt idx="8">
                  <c:v>1.9497120752930641E-2</c:v>
                </c:pt>
                <c:pt idx="9">
                  <c:v>6.6015139222145081E-2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9A-4959-9A01-0325DD682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95983"/>
        <c:axId val="1946813359"/>
      </c:lineChart>
      <c:catAx>
        <c:axId val="156495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813359"/>
        <c:crosses val="autoZero"/>
        <c:auto val="1"/>
        <c:lblAlgn val="ctr"/>
        <c:lblOffset val="100"/>
        <c:noMultiLvlLbl val="0"/>
      </c:catAx>
      <c:valAx>
        <c:axId val="194681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15</xdr:row>
      <xdr:rowOff>15240</xdr:rowOff>
    </xdr:from>
    <xdr:to>
      <xdr:col>7</xdr:col>
      <xdr:colOff>320040</xdr:colOff>
      <xdr:row>30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2F5C3-E613-4734-B003-E90A78BAC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15</xdr:row>
      <xdr:rowOff>30480</xdr:rowOff>
    </xdr:from>
    <xdr:to>
      <xdr:col>15</xdr:col>
      <xdr:colOff>22860</xdr:colOff>
      <xdr:row>30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3AF585-F0F2-45C5-AF6F-1DB7836A3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selection activeCell="M1" sqref="M1"/>
    </sheetView>
  </sheetViews>
  <sheetFormatPr defaultRowHeight="14.4" x14ac:dyDescent="0.3"/>
  <sheetData>
    <row r="1" spans="1:22" s="8" customFormat="1" ht="57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3">
      <c r="A2">
        <v>1</v>
      </c>
      <c r="B2">
        <v>30001</v>
      </c>
      <c r="C2">
        <v>1.6831327229738239E-2</v>
      </c>
      <c r="D2">
        <v>1.6831327229738239E-2</v>
      </c>
      <c r="E2">
        <v>1.263152062892914E-2</v>
      </c>
      <c r="F2">
        <v>1.263152062892914E-2</v>
      </c>
      <c r="G2">
        <v>7.7556574251502752E-4</v>
      </c>
      <c r="H2">
        <v>4.2823231779038906E-3</v>
      </c>
      <c r="I2">
        <v>8.535660058259964E-2</v>
      </c>
      <c r="J2">
        <v>8.535660058259964E-2</v>
      </c>
      <c r="K2">
        <v>0.11548389494419101</v>
      </c>
      <c r="L2">
        <v>0.11548389494419101</v>
      </c>
      <c r="M2" t="s">
        <v>22</v>
      </c>
      <c r="N2">
        <v>500</v>
      </c>
      <c r="O2">
        <v>100</v>
      </c>
      <c r="P2">
        <v>5</v>
      </c>
      <c r="Q2">
        <v>0</v>
      </c>
      <c r="R2">
        <v>2</v>
      </c>
      <c r="S2">
        <v>5</v>
      </c>
      <c r="T2">
        <v>3</v>
      </c>
      <c r="U2">
        <v>45</v>
      </c>
      <c r="V2">
        <v>45</v>
      </c>
    </row>
    <row r="3" spans="1:22" x14ac:dyDescent="0.3">
      <c r="A3">
        <v>2</v>
      </c>
      <c r="B3">
        <v>30002</v>
      </c>
      <c r="C3">
        <v>1.5438288450241091E-2</v>
      </c>
      <c r="D3">
        <v>1.5438288450241091E-2</v>
      </c>
      <c r="E3">
        <v>8.4557663649320602E-3</v>
      </c>
      <c r="F3">
        <v>8.4557663649320602E-3</v>
      </c>
      <c r="G3">
        <v>6.3881068490445614E-4</v>
      </c>
      <c r="H3">
        <v>2.1967187058180571E-3</v>
      </c>
      <c r="I3">
        <v>6.8517722189426422E-2</v>
      </c>
      <c r="J3">
        <v>6.8517722189426422E-2</v>
      </c>
      <c r="K3">
        <v>5.7703863829374313E-2</v>
      </c>
      <c r="L3">
        <v>5.7703863829374313E-2</v>
      </c>
      <c r="M3" t="s">
        <v>22</v>
      </c>
      <c r="N3">
        <v>500</v>
      </c>
      <c r="O3">
        <v>100</v>
      </c>
      <c r="P3">
        <v>5</v>
      </c>
      <c r="Q3">
        <v>0</v>
      </c>
      <c r="R3">
        <v>2</v>
      </c>
      <c r="S3">
        <v>5</v>
      </c>
      <c r="T3">
        <v>3</v>
      </c>
      <c r="U3">
        <v>45</v>
      </c>
      <c r="V3">
        <v>45</v>
      </c>
    </row>
    <row r="4" spans="1:22" x14ac:dyDescent="0.3">
      <c r="A4">
        <v>3</v>
      </c>
      <c r="B4">
        <v>30003</v>
      </c>
      <c r="C4">
        <v>1.6678342595696449E-2</v>
      </c>
      <c r="D4">
        <v>1.6678342595696449E-2</v>
      </c>
      <c r="E4">
        <v>1.246087718755007E-2</v>
      </c>
      <c r="F4">
        <v>1.246087718755007E-2</v>
      </c>
      <c r="G4">
        <v>1.3767776545137169E-3</v>
      </c>
      <c r="H4">
        <v>7.9901044955477118E-4</v>
      </c>
      <c r="I4">
        <v>2.5932770222425461E-2</v>
      </c>
      <c r="J4">
        <v>2.5932770222425461E-2</v>
      </c>
      <c r="K4">
        <v>1.212263200432062E-2</v>
      </c>
      <c r="L4">
        <v>1.212263200432062E-2</v>
      </c>
      <c r="M4" t="s">
        <v>22</v>
      </c>
      <c r="N4">
        <v>500</v>
      </c>
      <c r="O4">
        <v>100</v>
      </c>
      <c r="P4">
        <v>5</v>
      </c>
      <c r="Q4">
        <v>0</v>
      </c>
      <c r="R4">
        <v>2</v>
      </c>
      <c r="S4">
        <v>5</v>
      </c>
      <c r="T4">
        <v>3</v>
      </c>
      <c r="U4">
        <v>45</v>
      </c>
      <c r="V4">
        <v>45</v>
      </c>
    </row>
    <row r="5" spans="1:22" x14ac:dyDescent="0.3">
      <c r="A5">
        <v>4</v>
      </c>
      <c r="B5">
        <v>30004</v>
      </c>
      <c r="C5">
        <v>1.3347877189517019E-2</v>
      </c>
      <c r="D5">
        <v>1.3347877189517019E-2</v>
      </c>
      <c r="E5">
        <v>5.7735019363462916E-3</v>
      </c>
      <c r="F5">
        <v>5.7735019363462916E-3</v>
      </c>
      <c r="G5">
        <v>2.3902679095044729E-4</v>
      </c>
      <c r="H5">
        <v>2.6039110962301488E-3</v>
      </c>
      <c r="I5">
        <v>7.3548592627048492E-2</v>
      </c>
      <c r="J5">
        <v>7.3548592627048492E-2</v>
      </c>
      <c r="K5">
        <v>7.6830379664897919E-2</v>
      </c>
      <c r="L5">
        <v>7.6830379664897919E-2</v>
      </c>
      <c r="M5" t="s">
        <v>22</v>
      </c>
      <c r="N5">
        <v>500</v>
      </c>
      <c r="O5">
        <v>100</v>
      </c>
      <c r="P5">
        <v>5</v>
      </c>
      <c r="Q5">
        <v>0</v>
      </c>
      <c r="R5">
        <v>2</v>
      </c>
      <c r="S5">
        <v>5</v>
      </c>
      <c r="T5">
        <v>3</v>
      </c>
      <c r="U5">
        <v>45</v>
      </c>
      <c r="V5">
        <v>45</v>
      </c>
    </row>
    <row r="6" spans="1:22" x14ac:dyDescent="0.3">
      <c r="A6">
        <v>5</v>
      </c>
      <c r="B6">
        <v>30005</v>
      </c>
      <c r="C6">
        <v>1.2111431919038299E-2</v>
      </c>
      <c r="D6">
        <v>1.2111431919038299E-2</v>
      </c>
      <c r="E6">
        <v>6.7600859329104424E-3</v>
      </c>
      <c r="F6">
        <v>6.7600859329104424E-3</v>
      </c>
      <c r="G6">
        <v>5.8412505313754082E-4</v>
      </c>
      <c r="H6">
        <v>1.3450513361021881E-3</v>
      </c>
      <c r="I6">
        <v>5.3827747702598572E-2</v>
      </c>
      <c r="J6">
        <v>5.3827747702598572E-2</v>
      </c>
      <c r="K6">
        <v>4.1852429509162903E-2</v>
      </c>
      <c r="L6">
        <v>4.1852429509162903E-2</v>
      </c>
      <c r="M6" t="s">
        <v>22</v>
      </c>
      <c r="N6">
        <v>500</v>
      </c>
      <c r="O6">
        <v>100</v>
      </c>
      <c r="P6">
        <v>5</v>
      </c>
      <c r="Q6">
        <v>0</v>
      </c>
      <c r="R6">
        <v>2</v>
      </c>
      <c r="S6">
        <v>5</v>
      </c>
      <c r="T6">
        <v>3</v>
      </c>
      <c r="U6">
        <v>45</v>
      </c>
      <c r="V6">
        <v>45</v>
      </c>
    </row>
    <row r="7" spans="1:22" x14ac:dyDescent="0.3">
      <c r="A7">
        <v>6</v>
      </c>
      <c r="B7">
        <v>30006</v>
      </c>
      <c r="C7">
        <v>1.407087314873934E-2</v>
      </c>
      <c r="D7">
        <v>1.407087314873934E-2</v>
      </c>
      <c r="E7">
        <v>8.4287486970424652E-3</v>
      </c>
      <c r="F7">
        <v>8.4287486970424652E-3</v>
      </c>
      <c r="G7">
        <v>8.4275798872113228E-4</v>
      </c>
      <c r="H7">
        <v>1.0361621389165521E-3</v>
      </c>
      <c r="I7">
        <v>4.5472174882888787E-2</v>
      </c>
      <c r="J7">
        <v>4.5472174882888787E-2</v>
      </c>
      <c r="K7">
        <v>2.6964543387293819E-2</v>
      </c>
      <c r="L7">
        <v>2.6964543387293819E-2</v>
      </c>
      <c r="M7" t="s">
        <v>22</v>
      </c>
      <c r="N7">
        <v>500</v>
      </c>
      <c r="O7">
        <v>100</v>
      </c>
      <c r="P7">
        <v>5</v>
      </c>
      <c r="Q7">
        <v>0</v>
      </c>
      <c r="R7">
        <v>2</v>
      </c>
      <c r="S7">
        <v>5</v>
      </c>
      <c r="T7">
        <v>3</v>
      </c>
      <c r="U7">
        <v>45</v>
      </c>
      <c r="V7">
        <v>45</v>
      </c>
    </row>
    <row r="8" spans="1:22" x14ac:dyDescent="0.3">
      <c r="A8">
        <v>7</v>
      </c>
      <c r="B8">
        <v>30007</v>
      </c>
      <c r="C8">
        <v>1.431888341903687E-2</v>
      </c>
      <c r="D8">
        <v>1.431888341903687E-2</v>
      </c>
      <c r="E8">
        <v>1.197297032922506E-2</v>
      </c>
      <c r="F8">
        <v>1.197297032922506E-2</v>
      </c>
      <c r="G8">
        <v>9.0546265710145235E-4</v>
      </c>
      <c r="H8">
        <v>3.1052047852426772E-3</v>
      </c>
      <c r="I8">
        <v>0.1026189103722572</v>
      </c>
      <c r="J8">
        <v>0.1026189103722572</v>
      </c>
      <c r="K8">
        <v>9.7542978823184967E-2</v>
      </c>
      <c r="L8">
        <v>9.7542978823184967E-2</v>
      </c>
      <c r="M8" t="s">
        <v>22</v>
      </c>
      <c r="N8">
        <v>500</v>
      </c>
      <c r="O8">
        <v>100</v>
      </c>
      <c r="P8">
        <v>5</v>
      </c>
      <c r="Q8">
        <v>0</v>
      </c>
      <c r="R8">
        <v>2</v>
      </c>
      <c r="S8">
        <v>5</v>
      </c>
      <c r="T8">
        <v>3</v>
      </c>
      <c r="U8">
        <v>45</v>
      </c>
      <c r="V8">
        <v>45</v>
      </c>
    </row>
    <row r="9" spans="1:22" x14ac:dyDescent="0.3">
      <c r="A9">
        <v>8</v>
      </c>
      <c r="B9">
        <v>30008</v>
      </c>
      <c r="C9">
        <v>1.53042059391737E-2</v>
      </c>
      <c r="D9">
        <v>1.53042059391737E-2</v>
      </c>
      <c r="E9">
        <v>1.173071004450321E-2</v>
      </c>
      <c r="F9">
        <v>1.173071004450321E-2</v>
      </c>
      <c r="G9">
        <v>6.6886795684695244E-4</v>
      </c>
      <c r="H9">
        <v>4.2647072114050388E-3</v>
      </c>
      <c r="I9">
        <v>7.0421025156974792E-2</v>
      </c>
      <c r="J9">
        <v>7.0421025156974792E-2</v>
      </c>
      <c r="K9">
        <v>9.2254132032394409E-2</v>
      </c>
      <c r="L9">
        <v>9.2254132032394409E-2</v>
      </c>
      <c r="M9" t="s">
        <v>22</v>
      </c>
      <c r="N9">
        <v>500</v>
      </c>
      <c r="O9">
        <v>100</v>
      </c>
      <c r="P9">
        <v>5</v>
      </c>
      <c r="Q9">
        <v>0</v>
      </c>
      <c r="R9">
        <v>2</v>
      </c>
      <c r="S9">
        <v>5</v>
      </c>
      <c r="T9">
        <v>3</v>
      </c>
      <c r="U9">
        <v>45</v>
      </c>
      <c r="V9">
        <v>45</v>
      </c>
    </row>
    <row r="10" spans="1:22" x14ac:dyDescent="0.3">
      <c r="A10">
        <v>9</v>
      </c>
      <c r="B10">
        <v>30009</v>
      </c>
      <c r="C10">
        <v>1.700055971741676E-2</v>
      </c>
      <c r="D10">
        <v>1.700055971741676E-2</v>
      </c>
      <c r="E10">
        <v>1.2442706152796751E-2</v>
      </c>
      <c r="F10">
        <v>1.2442706152796751E-2</v>
      </c>
      <c r="G10">
        <v>1.3095160247758031E-3</v>
      </c>
      <c r="H10">
        <v>1.1632759124040599E-3</v>
      </c>
      <c r="I10">
        <v>4.1959561407566071E-2</v>
      </c>
      <c r="J10">
        <v>4.1959561407566071E-2</v>
      </c>
      <c r="K10">
        <v>1.9497120752930641E-2</v>
      </c>
      <c r="L10">
        <v>1.9497120752930641E-2</v>
      </c>
      <c r="M10" t="s">
        <v>22</v>
      </c>
      <c r="N10">
        <v>500</v>
      </c>
      <c r="O10">
        <v>100</v>
      </c>
      <c r="P10">
        <v>5</v>
      </c>
      <c r="Q10">
        <v>0</v>
      </c>
      <c r="R10">
        <v>2</v>
      </c>
      <c r="S10">
        <v>5</v>
      </c>
      <c r="T10">
        <v>3</v>
      </c>
      <c r="U10">
        <v>45</v>
      </c>
      <c r="V10">
        <v>45</v>
      </c>
    </row>
    <row r="11" spans="1:22" x14ac:dyDescent="0.3">
      <c r="A11">
        <v>10</v>
      </c>
      <c r="B11">
        <v>30010</v>
      </c>
      <c r="C11">
        <v>1.579013466835022E-2</v>
      </c>
      <c r="D11">
        <v>1.579013466835022E-2</v>
      </c>
      <c r="E11">
        <v>9.3792509287595749E-3</v>
      </c>
      <c r="F11">
        <v>9.3792509287595749E-3</v>
      </c>
      <c r="G11">
        <v>6.824357551522553E-4</v>
      </c>
      <c r="H11">
        <v>2.5830240920186038E-3</v>
      </c>
      <c r="I11">
        <v>6.8236164748668671E-2</v>
      </c>
      <c r="J11">
        <v>6.8236164748668671E-2</v>
      </c>
      <c r="K11">
        <v>6.6015139222145081E-2</v>
      </c>
      <c r="L11">
        <v>6.6015139222145081E-2</v>
      </c>
      <c r="M11" t="s">
        <v>22</v>
      </c>
      <c r="N11">
        <v>500</v>
      </c>
      <c r="O11">
        <v>100</v>
      </c>
      <c r="P11">
        <v>5</v>
      </c>
      <c r="Q11">
        <v>0</v>
      </c>
      <c r="R11">
        <v>2</v>
      </c>
      <c r="S11">
        <v>5</v>
      </c>
      <c r="T11">
        <v>3</v>
      </c>
      <c r="U11">
        <v>45</v>
      </c>
      <c r="V11">
        <v>45</v>
      </c>
    </row>
    <row r="13" spans="1:22" s="2" customFormat="1" x14ac:dyDescent="0.3">
      <c r="C13" s="3">
        <f>AVERAGE(C2:C11)</f>
        <v>1.5089192427694798E-2</v>
      </c>
      <c r="D13" s="3">
        <f t="shared" ref="D13:F13" si="0">AVERAGE(D2:D11)</f>
        <v>1.5089192427694798E-2</v>
      </c>
      <c r="E13" s="4">
        <f t="shared" si="0"/>
        <v>1.0003613820299507E-2</v>
      </c>
      <c r="F13" s="4">
        <f t="shared" si="0"/>
        <v>1.0003613820299507E-2</v>
      </c>
      <c r="I13" s="3">
        <f>AVERAGE(I2:I11)</f>
        <v>6.3589126989245418E-2</v>
      </c>
      <c r="J13" s="3">
        <f t="shared" ref="J13:L13" si="1">AVERAGE(J2:J11)</f>
        <v>6.3589126989245418E-2</v>
      </c>
      <c r="K13" s="4">
        <f t="shared" si="1"/>
        <v>6.0626711416989568E-2</v>
      </c>
      <c r="L13" s="4">
        <f t="shared" si="1"/>
        <v>6.0626711416989568E-2</v>
      </c>
    </row>
    <row r="14" spans="1:22" x14ac:dyDescent="0.3">
      <c r="C14" s="5"/>
      <c r="D14" s="5"/>
      <c r="E14" s="6">
        <f>(C13-E13)/C13</f>
        <v>0.33703451206979029</v>
      </c>
      <c r="F14" s="6">
        <f>(D13-F13)/D13</f>
        <v>0.33703451206979029</v>
      </c>
      <c r="I14" s="5"/>
      <c r="J14" s="5"/>
      <c r="K14" s="6">
        <f>(I13-K13)/I13</f>
        <v>4.6586825649562257E-2</v>
      </c>
      <c r="L14" s="6">
        <f>(J13-L13)/J13</f>
        <v>4.6586825649562257E-2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 x14ac:dyDescent="0.3">
      <c r="A2">
        <v>1.5089192427694799E-2</v>
      </c>
      <c r="B2">
        <v>1.5089192427694799E-2</v>
      </c>
      <c r="C2">
        <v>1.000361382029951E-2</v>
      </c>
      <c r="D2">
        <v>1.000361382029951E-2</v>
      </c>
      <c r="E2">
        <v>6.3589126989245418E-2</v>
      </c>
      <c r="F2">
        <v>6.3589126989245418E-2</v>
      </c>
      <c r="G2">
        <v>6.0626711416989568E-2</v>
      </c>
      <c r="H2">
        <v>6.0626711416989568E-2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2026-04-20T15:01:08Z</dcterms:created>
  <dcterms:modified xsi:type="dcterms:W3CDTF">2026-04-20T15:38:02Z</dcterms:modified>
</cp:coreProperties>
</file>