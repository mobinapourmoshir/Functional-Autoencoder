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C7B7D199-37F6-4E42-9C2A-9CC1DD24CA2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aw_results" sheetId="1" r:id="rId1"/>
  </sheets>
  <calcPr calcId="191029"/>
</workbook>
</file>

<file path=xl/calcChain.xml><?xml version="1.0" encoding="utf-8"?>
<calcChain xmlns="http://schemas.openxmlformats.org/spreadsheetml/2006/main">
  <c r="K14" i="1" l="1"/>
  <c r="E14" i="1"/>
  <c r="L14" i="1"/>
  <c r="F14" i="1"/>
  <c r="I13" i="1" l="1"/>
  <c r="L13" i="1"/>
  <c r="K13" i="1"/>
  <c r="J13" i="1"/>
  <c r="D13" i="1"/>
  <c r="E13" i="1"/>
  <c r="F13" i="1"/>
  <c r="C13" i="1"/>
</calcChain>
</file>

<file path=xl/sharedStrings.xml><?xml version="1.0" encoding="utf-8"?>
<sst xmlns="http://schemas.openxmlformats.org/spreadsheetml/2006/main" count="32" uniqueCount="23">
  <si>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</si>
  <si>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</si>
  <si>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</si>
  <si>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</si>
  <si>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</si>
  <si>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</si>
  <si>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fae_train_mse_final_clean</t>
  </si>
  <si>
    <t>fae_val_mse_final_clean</t>
  </si>
  <si>
    <t>fpca_fore_relMSE_vs_clean</t>
  </si>
  <si>
    <t>fpca_fore_relMSE_vs_noisy</t>
  </si>
  <si>
    <t>fae_fore_relMSE_vs_clean</t>
  </si>
  <si>
    <t>fae_fore_relMSE_vs_noisy</t>
  </si>
  <si>
    <t>map_mode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</si>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</sst>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5"/>
      <name val="Calibri"/>
      <family val="2"/>
    </font>
    <font>
      <sz val="11"/>
      <color theme="5"/>
      <name val="Calibri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9" fontId="5" fillId="0" borderId="0" xfId="1" applyNumberFormat="1" applyFont="1"/>
    <xf numFmtId="0" fontId="6" fillId="0" borderId="1" xfId="0" applyFont="1" applyBorder="1" applyAlignment="1">
      <alignment horizontal="center" vertical="top" wrapText="1"/>
    </xf>
    <xf numFmtId="0" fontId="7" fillId="0" borderId="0" xfId="0" applyFont="1"/>
    <xf numFmtId="0" fontId="4" fillId="0" borderId="0" xfId="0" applyFont="1"/>
    <xf numFmtId="0" fontId="8" fillId="0" borderId="1" xfId="0" applyFont="1" applyBorder="1" applyAlignment="1">
      <alignment horizontal="center" vertical="top" wrapText="1"/>
    </xf>
    <xf numFmtId="0" fontId="9" fillId="0" borderId="0" xfId="0" applyFont="1"/>
    <xf numFmtId="165" fontId="3" fillId="0" borderId="0" xfId="0" applyNumberFormat="1" applyFont="1"/>
    <xf numFmtId="165" fontId="5" fillId="0" borderId="0" xfId="0" applyNumberFormat="1" applyFont="1"/>
    <xf numFmtId="165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raw_results!$J$1</c:f>
              <c:strCache>
                <c:ptCount val="1"/>
                <c:pt idx="0">
                  <c:v>fpca_fore_relMSE_vs_noisy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raw_results!$J$2:$J$11</c:f>
              <c:numCache>
                <c:formatCode>General</c:formatCode>
                <c:ptCount val="10"/>
                <c:pt idx="0">
                  <c:v>0.31323465704917908</c:v>
                </c:pt>
                <c:pt idx="1">
                  <c:v>0.25798434019088751</c:v>
                </c:pt>
                <c:pt idx="2">
                  <c:v>0.34672245383262629</c:v>
                </c:pt>
                <c:pt idx="3">
                  <c:v>0.31374442577362061</c:v>
                </c:pt>
                <c:pt idx="4">
                  <c:v>0.35718494653701782</c:v>
                </c:pt>
                <c:pt idx="5">
                  <c:v>0.35701656341552729</c:v>
                </c:pt>
                <c:pt idx="6">
                  <c:v>0.3547782301902771</c:v>
                </c:pt>
                <c:pt idx="7">
                  <c:v>0.3041209876537323</c:v>
                </c:pt>
                <c:pt idx="8">
                  <c:v>0.33292841911315918</c:v>
                </c:pt>
                <c:pt idx="9">
                  <c:v>0.34722945094108582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2-475E-B7AE-F4F1829C4E38}"/>
            </c:ext>
          </c:extLst>
        </c:ser>
        <c:ser>
          <c:idx val="1"/>
          <c:order val="1"/>
          <c:tx>
            <c:strRef>
              <c:f>raw_results!$L$1</c:f>
              <c:strCache>
                <c:ptCount val="1"/>
                <c:pt idx="0">
                  <c:v>fae_fore_relMSE_vs_noisy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raw_results!$L$2:$L$11</c:f>
              <c:numCache>
                <c:formatCode>General</c:formatCode>
                <c:ptCount val="10"/>
                <c:pt idx="0">
                  <c:v>0.11214000731706621</c:v>
                </c:pt>
                <c:pt idx="1">
                  <c:v>0.13398635387420649</c:v>
                </c:pt>
                <c:pt idx="2">
                  <c:v>0.18891565501689911</c:v>
                </c:pt>
                <c:pt idx="3">
                  <c:v>0.18852619826793671</c:v>
                </c:pt>
                <c:pt idx="4">
                  <c:v>0.22915491461753851</c:v>
                </c:pt>
                <c:pt idx="5">
                  <c:v>0.20645107328891751</c:v>
                </c:pt>
                <c:pt idx="6">
                  <c:v>0.2044535577297211</c:v>
                </c:pt>
                <c:pt idx="7">
                  <c:v>0.16207726299762731</c:v>
                </c:pt>
                <c:pt idx="8">
                  <c:v>0.17550039291381839</c:v>
                </c:pt>
                <c:pt idx="9">
                  <c:v>0.20441041886806491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2-475E-B7AE-F4F1829C4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89119"/>
        <c:axId val="551047519"/>
      </c:lineChart>
      <c:catAx>
        <c:axId val="56098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7519"/>
        <c:crosses val="autoZero"/>
        <c:auto val="1"/>
        <c:lblAlgn val="ctr"/>
        <c:lblOffset val="100"/>
        <c:noMultiLvlLbl val="0"/>
      </c:catAx>
      <c:valAx>
        <c:axId val="5510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raw_results!$I$2:$I$11</c:f>
              <c:numCache>
                <c:formatCode>General</c:formatCode>
                <c:ptCount val="10"/>
                <c:pt idx="0">
                  <c:v>0.31186255812644958</c:v>
                </c:pt>
                <c:pt idx="1">
                  <c:v>0.25703656673431402</c:v>
                </c:pt>
                <c:pt idx="2">
                  <c:v>0.34426182508468628</c:v>
                </c:pt>
                <c:pt idx="3">
                  <c:v>0.3124883770942688</c:v>
                </c:pt>
                <c:pt idx="4">
                  <c:v>0.35608133673667908</c:v>
                </c:pt>
                <c:pt idx="5">
                  <c:v>0.3571808934211731</c:v>
                </c:pt>
                <c:pt idx="6">
                  <c:v>0.35140177607536321</c:v>
                </c:pt>
                <c:pt idx="7">
                  <c:v>0.3049609363079071</c:v>
                </c:pt>
                <c:pt idx="8">
                  <c:v>0.33582955598831182</c:v>
                </c:pt>
                <c:pt idx="9">
                  <c:v>0.34834170341491699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5-4CD9-8561-A8A007C6EC11}"/>
            </c:ext>
          </c:extLst>
        </c:ser>
        <c:ser>
          <c:idx val="1"/>
          <c:order val="1"/>
          <c:tx>
            <c:strRef>
              <c:f>raw_results!$K$1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raw_results!$K$2:$K$11</c:f>
              <c:numCache>
                <c:formatCode>General</c:formatCode>
                <c:ptCount val="10"/>
                <c:pt idx="0">
                  <c:v>0.11139728128910061</c:v>
                </c:pt>
                <c:pt idx="1">
                  <c:v>0.129769042134285</c:v>
                </c:pt>
                <c:pt idx="2">
                  <c:v>0.18879066407680509</c:v>
                </c:pt>
                <c:pt idx="3">
                  <c:v>0.18534199893474579</c:v>
                </c:pt>
                <c:pt idx="4">
                  <c:v>0.22757190465927121</c:v>
                </c:pt>
                <c:pt idx="5">
                  <c:v>0.2074664235115051</c:v>
                </c:pt>
                <c:pt idx="6">
                  <c:v>0.2031120955944061</c:v>
                </c:pt>
                <c:pt idx="7">
                  <c:v>0.16242058575153351</c:v>
                </c:pt>
                <c:pt idx="8">
                  <c:v>0.17321139574050901</c:v>
                </c:pt>
                <c:pt idx="9">
                  <c:v>0.20595318078994751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5-4CD9-8561-A8A007C6E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89119"/>
        <c:axId val="551047519"/>
      </c:lineChart>
      <c:catAx>
        <c:axId val="56098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7519"/>
        <c:crosses val="autoZero"/>
        <c:auto val="1"/>
        <c:lblAlgn val="ctr"/>
        <c:lblOffset val="100"/>
        <c:noMultiLvlLbl val="0"/>
      </c:catAx>
      <c:valAx>
        <c:axId val="5510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raw_results!$D$2:$D$11</c:f>
              <c:numCache>
                <c:formatCode>General</c:formatCode>
                <c:ptCount val="10"/>
                <c:pt idx="0">
                  <c:v>0.1179208979010582</c:v>
                </c:pt>
                <c:pt idx="1">
                  <c:v>0.1169584766030312</c:v>
                </c:pt>
                <c:pt idx="2">
                  <c:v>0.1157919839024544</c:v>
                </c:pt>
                <c:pt idx="3">
                  <c:v>0.1171812042593956</c:v>
                </c:pt>
                <c:pt idx="4">
                  <c:v>0.1151580810546875</c:v>
                </c:pt>
                <c:pt idx="5">
                  <c:v>0.1137378811836243</c:v>
                </c:pt>
                <c:pt idx="6">
                  <c:v>0.1148221716284752</c:v>
                </c:pt>
                <c:pt idx="7">
                  <c:v>0.1159492284059525</c:v>
                </c:pt>
                <c:pt idx="8">
                  <c:v>0.11933595687150959</c:v>
                </c:pt>
                <c:pt idx="9">
                  <c:v>0.1186763793230057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6-42DD-A86B-D709C142CFC0}"/>
            </c:ext>
          </c:extLst>
        </c:ser>
        <c:ser>
          <c:idx val="1"/>
          <c:order val="1"/>
          <c:tx>
            <c:strRef>
              <c:f>raw_results!$F$1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raw_results!$F$2:$F$11</c:f>
              <c:numCache>
                <c:formatCode>General</c:formatCode>
                <c:ptCount val="10"/>
                <c:pt idx="0">
                  <c:v>6.386575847864151E-2</c:v>
                </c:pt>
                <c:pt idx="1">
                  <c:v>6.8035826086997986E-2</c:v>
                </c:pt>
                <c:pt idx="2">
                  <c:v>7.3025889694690704E-2</c:v>
                </c:pt>
                <c:pt idx="3">
                  <c:v>7.5178250670433044E-2</c:v>
                </c:pt>
                <c:pt idx="4">
                  <c:v>6.4780056476593018E-2</c:v>
                </c:pt>
                <c:pt idx="5">
                  <c:v>4.3933071196079247E-2</c:v>
                </c:pt>
                <c:pt idx="6">
                  <c:v>3.7535782903432853E-2</c:v>
                </c:pt>
                <c:pt idx="7">
                  <c:v>6.2181241810321808E-2</c:v>
                </c:pt>
                <c:pt idx="8">
                  <c:v>4.3784167617559433E-2</c:v>
                </c:pt>
                <c:pt idx="9">
                  <c:v>8.2704611122608185E-2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6-42DD-A86B-D709C142C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89119"/>
        <c:axId val="551047519"/>
      </c:lineChart>
      <c:catAx>
        <c:axId val="56098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7519"/>
        <c:crosses val="autoZero"/>
        <c:auto val="1"/>
        <c:lblAlgn val="ctr"/>
        <c:lblOffset val="100"/>
        <c:noMultiLvlLbl val="0"/>
      </c:catAx>
      <c:valAx>
        <c:axId val="5510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raw_results!$C$2:$C$11</c:f>
              <c:numCache>
                <c:formatCode>General</c:formatCode>
                <c:ptCount val="10"/>
                <c:pt idx="0">
                  <c:v>0.1171822473406792</c:v>
                </c:pt>
                <c:pt idx="1">
                  <c:v>0.11615099012851721</c:v>
                </c:pt>
                <c:pt idx="2">
                  <c:v>0.1149167120456696</c:v>
                </c:pt>
                <c:pt idx="3">
                  <c:v>0.1164683997631073</c:v>
                </c:pt>
                <c:pt idx="4">
                  <c:v>0.1144415736198425</c:v>
                </c:pt>
                <c:pt idx="5">
                  <c:v>0.11294893175363541</c:v>
                </c:pt>
                <c:pt idx="6">
                  <c:v>0.11407012492418291</c:v>
                </c:pt>
                <c:pt idx="7">
                  <c:v>0.11510952562093731</c:v>
                </c:pt>
                <c:pt idx="8">
                  <c:v>0.1185525134205818</c:v>
                </c:pt>
                <c:pt idx="9">
                  <c:v>0.11788143217563631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2-496C-ACFE-9A763A141652}"/>
            </c:ext>
          </c:extLst>
        </c:ser>
        <c:ser>
          <c:idx val="1"/>
          <c:order val="1"/>
          <c:tx>
            <c:strRef>
              <c:f>raw_results!$E$1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raw_results!$E$2:$E$11</c:f>
              <c:numCache>
                <c:formatCode>General</c:formatCode>
                <c:ptCount val="10"/>
                <c:pt idx="0">
                  <c:v>6.3120119273662567E-2</c:v>
                </c:pt>
                <c:pt idx="1">
                  <c:v>6.730237603187561E-2</c:v>
                </c:pt>
                <c:pt idx="2">
                  <c:v>7.2160102427005768E-2</c:v>
                </c:pt>
                <c:pt idx="3">
                  <c:v>7.4341759085655212E-2</c:v>
                </c:pt>
                <c:pt idx="4">
                  <c:v>6.3925817608833313E-2</c:v>
                </c:pt>
                <c:pt idx="5">
                  <c:v>4.3039955198764801E-2</c:v>
                </c:pt>
                <c:pt idx="6">
                  <c:v>3.6718040704727173E-2</c:v>
                </c:pt>
                <c:pt idx="7">
                  <c:v>6.1358854174613953E-2</c:v>
                </c:pt>
                <c:pt idx="8">
                  <c:v>4.2988404631614692E-2</c:v>
                </c:pt>
                <c:pt idx="9">
                  <c:v>8.1969209015369415E-2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2-496C-ACFE-9A763A141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89119"/>
        <c:axId val="551047519"/>
      </c:lineChart>
      <c:catAx>
        <c:axId val="56098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7519"/>
        <c:crosses val="autoZero"/>
        <c:auto val="1"/>
        <c:lblAlgn val="ctr"/>
        <c:lblOffset val="100"/>
        <c:noMultiLvlLbl val="0"/>
      </c:catAx>
      <c:valAx>
        <c:axId val="5510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29</xdr:row>
      <xdr:rowOff>53340</xdr:rowOff>
    </xdr:from>
    <xdr:to>
      <xdr:col>15</xdr:col>
      <xdr:colOff>266700</xdr:colOff>
      <xdr:row>44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CD86F-D9DE-40AA-A199-92A0B9679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594360</xdr:colOff>
      <xdr:row>14</xdr:row>
      <xdr:rowOff>7620</xdr:rowOff>
    </xdr:from>
    <xdr:to>
      <xdr:col>15</xdr:col>
      <xdr:colOff>289560</xdr:colOff>
      <xdr:row>29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31E903-6DE1-4708-B1FA-63E45CCAC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45720</xdr:rowOff>
    </xdr:from>
    <xdr:to>
      <xdr:col>7</xdr:col>
      <xdr:colOff>304800</xdr:colOff>
      <xdr:row>44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06087-DCA0-4727-B28A-F98C5A19A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14</xdr:row>
      <xdr:rowOff>0</xdr:rowOff>
    </xdr:from>
    <xdr:to>
      <xdr:col>7</xdr:col>
      <xdr:colOff>327660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2A5B81-CF22-44EF-9CEB-EBB5D0348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zoomScaleNormal="100" workbookViewId="0">
      <selection activeCell="R1" sqref="R1"/>
    </sheetView>
  </sheetViews>
  <sheetFormatPr defaultRowHeight="14.4" x14ac:dyDescent="0.3"/>
  <cols>
    <col min="3" max="4" width="8.88671875" style="8"/>
    <col min="5" max="6" width="8.88671875" style="5"/>
    <col min="9" max="10" width="8.88671875" style="8"/>
    <col min="11" max="12" width="8.88671875" style="5"/>
  </cols>
  <sheetData>
    <row r="1" spans="1:22" s="2" customFormat="1" ht="57.6" x14ac:dyDescent="0.3">
      <c r="A1" s="1" t="s">
        <v>0</v>
      </c>
      <c r="B1" s="1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30001</v>
      </c>
      <c r="C2" s="8">
        <v>0.1171822473406792</v>
      </c>
      <c r="D2" s="8">
        <v>0.1179208979010582</v>
      </c>
      <c r="E2" s="5">
        <v>6.3120119273662567E-2</v>
      </c>
      <c r="F2" s="5">
        <v>6.386575847864151E-2</v>
      </c>
      <c r="G2">
        <v>7.0700909418519586E-5</v>
      </c>
      <c r="H2">
        <v>6.1066355556249619E-5</v>
      </c>
      <c r="I2" s="8">
        <v>0.31186255812644958</v>
      </c>
      <c r="J2" s="8">
        <v>0.31323465704917908</v>
      </c>
      <c r="K2" s="5">
        <v>0.11139728128910061</v>
      </c>
      <c r="L2" s="5">
        <v>0.11214000731706621</v>
      </c>
      <c r="M2" t="s">
        <v>22</v>
      </c>
      <c r="N2">
        <v>500</v>
      </c>
      <c r="O2">
        <v>100</v>
      </c>
      <c r="P2">
        <v>5</v>
      </c>
      <c r="Q2">
        <v>1E-3</v>
      </c>
      <c r="R2">
        <v>3</v>
      </c>
      <c r="S2">
        <v>5</v>
      </c>
      <c r="T2">
        <v>3</v>
      </c>
      <c r="U2">
        <v>45</v>
      </c>
      <c r="V2">
        <v>45</v>
      </c>
    </row>
    <row r="3" spans="1:22" x14ac:dyDescent="0.3">
      <c r="A3">
        <v>2</v>
      </c>
      <c r="B3">
        <v>30002</v>
      </c>
      <c r="C3" s="8">
        <v>0.11615099012851721</v>
      </c>
      <c r="D3" s="8">
        <v>0.1169584766030312</v>
      </c>
      <c r="E3" s="5">
        <v>6.730237603187561E-2</v>
      </c>
      <c r="F3" s="5">
        <v>6.8035826086997986E-2</v>
      </c>
      <c r="G3">
        <v>7.1853733970783651E-5</v>
      </c>
      <c r="H3">
        <v>8.3444581832736731E-5</v>
      </c>
      <c r="I3" s="8">
        <v>0.25703656673431402</v>
      </c>
      <c r="J3" s="8">
        <v>0.25798434019088751</v>
      </c>
      <c r="K3" s="5">
        <v>0.129769042134285</v>
      </c>
      <c r="L3" s="5">
        <v>0.13398635387420649</v>
      </c>
      <c r="M3" t="s">
        <v>22</v>
      </c>
      <c r="N3">
        <v>500</v>
      </c>
      <c r="O3">
        <v>100</v>
      </c>
      <c r="P3">
        <v>5</v>
      </c>
      <c r="Q3">
        <v>1E-3</v>
      </c>
      <c r="R3">
        <v>3</v>
      </c>
      <c r="S3">
        <v>5</v>
      </c>
      <c r="T3">
        <v>3</v>
      </c>
      <c r="U3">
        <v>45</v>
      </c>
      <c r="V3">
        <v>45</v>
      </c>
    </row>
    <row r="4" spans="1:22" x14ac:dyDescent="0.3">
      <c r="A4">
        <v>3</v>
      </c>
      <c r="B4">
        <v>30003</v>
      </c>
      <c r="C4" s="8">
        <v>0.1149167120456696</v>
      </c>
      <c r="D4" s="8">
        <v>0.1157919839024544</v>
      </c>
      <c r="E4" s="5">
        <v>7.2160102427005768E-2</v>
      </c>
      <c r="F4" s="5">
        <v>7.3025889694690704E-2</v>
      </c>
      <c r="G4">
        <v>7.9067358456086367E-5</v>
      </c>
      <c r="H4">
        <v>7.9037512477952987E-5</v>
      </c>
      <c r="I4" s="8">
        <v>0.34426182508468628</v>
      </c>
      <c r="J4" s="8">
        <v>0.34672245383262629</v>
      </c>
      <c r="K4" s="5">
        <v>0.18879066407680509</v>
      </c>
      <c r="L4" s="5">
        <v>0.18891565501689911</v>
      </c>
      <c r="M4" t="s">
        <v>22</v>
      </c>
      <c r="N4">
        <v>500</v>
      </c>
      <c r="O4">
        <v>100</v>
      </c>
      <c r="P4">
        <v>5</v>
      </c>
      <c r="Q4">
        <v>1E-3</v>
      </c>
      <c r="R4">
        <v>3</v>
      </c>
      <c r="S4">
        <v>5</v>
      </c>
      <c r="T4">
        <v>3</v>
      </c>
      <c r="U4">
        <v>45</v>
      </c>
      <c r="V4">
        <v>45</v>
      </c>
    </row>
    <row r="5" spans="1:22" x14ac:dyDescent="0.3">
      <c r="A5">
        <v>4</v>
      </c>
      <c r="B5">
        <v>30004</v>
      </c>
      <c r="C5" s="8">
        <v>0.1164683997631073</v>
      </c>
      <c r="D5" s="8">
        <v>0.1171812042593956</v>
      </c>
      <c r="E5" s="5">
        <v>7.4341759085655212E-2</v>
      </c>
      <c r="F5" s="5">
        <v>7.5178250670433044E-2</v>
      </c>
      <c r="G5">
        <v>7.9313678725156933E-5</v>
      </c>
      <c r="H5">
        <v>9.2225694970693439E-5</v>
      </c>
      <c r="I5" s="8">
        <v>0.3124883770942688</v>
      </c>
      <c r="J5" s="8">
        <v>0.31374442577362061</v>
      </c>
      <c r="K5" s="5">
        <v>0.18534199893474579</v>
      </c>
      <c r="L5" s="5">
        <v>0.18852619826793671</v>
      </c>
      <c r="M5" t="s">
        <v>22</v>
      </c>
      <c r="N5">
        <v>500</v>
      </c>
      <c r="O5">
        <v>100</v>
      </c>
      <c r="P5">
        <v>5</v>
      </c>
      <c r="Q5">
        <v>1E-3</v>
      </c>
      <c r="R5">
        <v>3</v>
      </c>
      <c r="S5">
        <v>5</v>
      </c>
      <c r="T5">
        <v>3</v>
      </c>
      <c r="U5">
        <v>45</v>
      </c>
      <c r="V5">
        <v>45</v>
      </c>
    </row>
    <row r="6" spans="1:22" x14ac:dyDescent="0.3">
      <c r="A6">
        <v>5</v>
      </c>
      <c r="B6">
        <v>30005</v>
      </c>
      <c r="C6" s="8">
        <v>0.1144415736198425</v>
      </c>
      <c r="D6" s="8">
        <v>0.1151580810546875</v>
      </c>
      <c r="E6" s="5">
        <v>6.3925817608833313E-2</v>
      </c>
      <c r="F6" s="5">
        <v>6.4780056476593018E-2</v>
      </c>
      <c r="G6">
        <v>6.4470754296053201E-5</v>
      </c>
      <c r="H6">
        <v>1.0019254114013171E-4</v>
      </c>
      <c r="I6" s="8">
        <v>0.35608133673667908</v>
      </c>
      <c r="J6" s="8">
        <v>0.35718494653701782</v>
      </c>
      <c r="K6" s="5">
        <v>0.22757190465927121</v>
      </c>
      <c r="L6" s="5">
        <v>0.22915491461753851</v>
      </c>
      <c r="M6" t="s">
        <v>22</v>
      </c>
      <c r="N6">
        <v>500</v>
      </c>
      <c r="O6">
        <v>100</v>
      </c>
      <c r="P6">
        <v>5</v>
      </c>
      <c r="Q6">
        <v>1E-3</v>
      </c>
      <c r="R6">
        <v>3</v>
      </c>
      <c r="S6">
        <v>5</v>
      </c>
      <c r="T6">
        <v>3</v>
      </c>
      <c r="U6">
        <v>45</v>
      </c>
      <c r="V6">
        <v>45</v>
      </c>
    </row>
    <row r="7" spans="1:22" x14ac:dyDescent="0.3">
      <c r="A7">
        <v>6</v>
      </c>
      <c r="B7">
        <v>30006</v>
      </c>
      <c r="C7" s="8">
        <v>0.11294893175363541</v>
      </c>
      <c r="D7" s="8">
        <v>0.1137378811836243</v>
      </c>
      <c r="E7" s="5">
        <v>4.3039955198764801E-2</v>
      </c>
      <c r="F7" s="5">
        <v>4.3933071196079247E-2</v>
      </c>
      <c r="G7">
        <v>3.8550093449885032E-5</v>
      </c>
      <c r="H7">
        <v>9.5381918072234839E-5</v>
      </c>
      <c r="I7" s="8">
        <v>0.3571808934211731</v>
      </c>
      <c r="J7" s="8">
        <v>0.35701656341552729</v>
      </c>
      <c r="K7" s="5">
        <v>0.2074664235115051</v>
      </c>
      <c r="L7" s="5">
        <v>0.20645107328891751</v>
      </c>
      <c r="M7" t="s">
        <v>22</v>
      </c>
      <c r="N7">
        <v>500</v>
      </c>
      <c r="O7">
        <v>100</v>
      </c>
      <c r="P7">
        <v>5</v>
      </c>
      <c r="Q7">
        <v>1E-3</v>
      </c>
      <c r="R7">
        <v>3</v>
      </c>
      <c r="S7">
        <v>5</v>
      </c>
      <c r="T7">
        <v>3</v>
      </c>
      <c r="U7">
        <v>45</v>
      </c>
      <c r="V7">
        <v>45</v>
      </c>
    </row>
    <row r="8" spans="1:22" x14ac:dyDescent="0.3">
      <c r="A8">
        <v>7</v>
      </c>
      <c r="B8">
        <v>30007</v>
      </c>
      <c r="C8" s="8">
        <v>0.11407012492418291</v>
      </c>
      <c r="D8" s="8">
        <v>0.1148221716284752</v>
      </c>
      <c r="E8" s="5">
        <v>3.6718040704727173E-2</v>
      </c>
      <c r="F8" s="5">
        <v>3.7535782903432853E-2</v>
      </c>
      <c r="G8">
        <v>3.1605177355231717E-5</v>
      </c>
      <c r="H8">
        <v>8.8646520453039557E-5</v>
      </c>
      <c r="I8" s="8">
        <v>0.35140177607536321</v>
      </c>
      <c r="J8" s="8">
        <v>0.3547782301902771</v>
      </c>
      <c r="K8" s="5">
        <v>0.2031120955944061</v>
      </c>
      <c r="L8" s="5">
        <v>0.2044535577297211</v>
      </c>
      <c r="M8" t="s">
        <v>22</v>
      </c>
      <c r="N8">
        <v>500</v>
      </c>
      <c r="O8">
        <v>100</v>
      </c>
      <c r="P8">
        <v>5</v>
      </c>
      <c r="Q8">
        <v>1E-3</v>
      </c>
      <c r="R8">
        <v>3</v>
      </c>
      <c r="S8">
        <v>5</v>
      </c>
      <c r="T8">
        <v>3</v>
      </c>
      <c r="U8">
        <v>45</v>
      </c>
      <c r="V8">
        <v>45</v>
      </c>
    </row>
    <row r="9" spans="1:22" x14ac:dyDescent="0.3">
      <c r="A9">
        <v>8</v>
      </c>
      <c r="B9">
        <v>30008</v>
      </c>
      <c r="C9" s="8">
        <v>0.11510952562093731</v>
      </c>
      <c r="D9" s="8">
        <v>0.1159492284059525</v>
      </c>
      <c r="E9" s="5">
        <v>6.1358854174613953E-2</v>
      </c>
      <c r="F9" s="5">
        <v>6.2181241810321808E-2</v>
      </c>
      <c r="G9">
        <v>6.456204573623836E-5</v>
      </c>
      <c r="H9">
        <v>8.2167673099320382E-5</v>
      </c>
      <c r="I9" s="8">
        <v>0.3049609363079071</v>
      </c>
      <c r="J9" s="8">
        <v>0.3041209876537323</v>
      </c>
      <c r="K9" s="5">
        <v>0.16242058575153351</v>
      </c>
      <c r="L9" s="5">
        <v>0.16207726299762731</v>
      </c>
      <c r="M9" t="s">
        <v>22</v>
      </c>
      <c r="N9">
        <v>500</v>
      </c>
      <c r="O9">
        <v>100</v>
      </c>
      <c r="P9">
        <v>5</v>
      </c>
      <c r="Q9">
        <v>1E-3</v>
      </c>
      <c r="R9">
        <v>3</v>
      </c>
      <c r="S9">
        <v>5</v>
      </c>
      <c r="T9">
        <v>3</v>
      </c>
      <c r="U9">
        <v>45</v>
      </c>
      <c r="V9">
        <v>45</v>
      </c>
    </row>
    <row r="10" spans="1:22" x14ac:dyDescent="0.3">
      <c r="A10">
        <v>9</v>
      </c>
      <c r="B10">
        <v>30009</v>
      </c>
      <c r="C10" s="8">
        <v>0.1185525134205818</v>
      </c>
      <c r="D10" s="8">
        <v>0.11933595687150959</v>
      </c>
      <c r="E10" s="5">
        <v>4.2988404631614692E-2</v>
      </c>
      <c r="F10" s="5">
        <v>4.3784167617559433E-2</v>
      </c>
      <c r="G10">
        <v>4.1465293179498992E-5</v>
      </c>
      <c r="H10">
        <v>7.7582393714692444E-5</v>
      </c>
      <c r="I10" s="8">
        <v>0.33582955598831182</v>
      </c>
      <c r="J10" s="8">
        <v>0.33292841911315918</v>
      </c>
      <c r="K10" s="5">
        <v>0.17321139574050901</v>
      </c>
      <c r="L10" s="5">
        <v>0.17550039291381839</v>
      </c>
      <c r="M10" t="s">
        <v>22</v>
      </c>
      <c r="N10">
        <v>500</v>
      </c>
      <c r="O10">
        <v>100</v>
      </c>
      <c r="P10">
        <v>5</v>
      </c>
      <c r="Q10">
        <v>1E-3</v>
      </c>
      <c r="R10">
        <v>3</v>
      </c>
      <c r="S10">
        <v>5</v>
      </c>
      <c r="T10">
        <v>3</v>
      </c>
      <c r="U10">
        <v>45</v>
      </c>
      <c r="V10">
        <v>45</v>
      </c>
    </row>
    <row r="11" spans="1:22" x14ac:dyDescent="0.3">
      <c r="A11">
        <v>10</v>
      </c>
      <c r="B11">
        <v>30010</v>
      </c>
      <c r="C11" s="8">
        <v>0.11788143217563631</v>
      </c>
      <c r="D11" s="8">
        <v>0.1186763793230057</v>
      </c>
      <c r="E11" s="5">
        <v>8.1969209015369415E-2</v>
      </c>
      <c r="F11" s="5">
        <v>8.2704611122608185E-2</v>
      </c>
      <c r="G11">
        <v>9.0483881649561226E-5</v>
      </c>
      <c r="H11">
        <v>8.5684412624686956E-5</v>
      </c>
      <c r="I11" s="8">
        <v>0.34834170341491699</v>
      </c>
      <c r="J11" s="8">
        <v>0.34722945094108582</v>
      </c>
      <c r="K11" s="5">
        <v>0.20595318078994751</v>
      </c>
      <c r="L11" s="5">
        <v>0.20441041886806491</v>
      </c>
      <c r="M11" t="s">
        <v>22</v>
      </c>
      <c r="N11">
        <v>500</v>
      </c>
      <c r="O11">
        <v>100</v>
      </c>
      <c r="P11">
        <v>5</v>
      </c>
      <c r="Q11">
        <v>1E-3</v>
      </c>
      <c r="R11">
        <v>3</v>
      </c>
      <c r="S11">
        <v>5</v>
      </c>
      <c r="T11">
        <v>3</v>
      </c>
      <c r="U11">
        <v>45</v>
      </c>
      <c r="V11">
        <v>45</v>
      </c>
    </row>
    <row r="13" spans="1:22" s="6" customFormat="1" x14ac:dyDescent="0.3">
      <c r="C13" s="9">
        <f>AVERAGE(C2:C11)</f>
        <v>0.11577224507927894</v>
      </c>
      <c r="D13" s="9">
        <f t="shared" ref="D13:F13" si="0">AVERAGE(D2:D11)</f>
        <v>0.11655322611331942</v>
      </c>
      <c r="E13" s="10">
        <f t="shared" si="0"/>
        <v>6.0692463815212247E-2</v>
      </c>
      <c r="F13" s="10">
        <f t="shared" si="0"/>
        <v>6.150246560573578E-2</v>
      </c>
      <c r="G13" s="11"/>
      <c r="H13" s="11"/>
      <c r="I13" s="9">
        <f>AVERAGE(I2:I11)</f>
        <v>0.32794455289840696</v>
      </c>
      <c r="J13" s="9">
        <f t="shared" ref="J13:L13" si="1">AVERAGE(J2:J11)</f>
        <v>0.32849444746971129</v>
      </c>
      <c r="K13" s="10">
        <f t="shared" si="1"/>
        <v>0.1795034572482109</v>
      </c>
      <c r="L13" s="10">
        <f t="shared" si="1"/>
        <v>0.18056158348917961</v>
      </c>
    </row>
    <row r="14" spans="1:22" x14ac:dyDescent="0.3">
      <c r="E14" s="3">
        <f>(C13-E13)/C13</f>
        <v>0.47575980949794106</v>
      </c>
      <c r="F14" s="3">
        <f>(D13-F13)/D13</f>
        <v>0.47232292355477384</v>
      </c>
      <c r="K14" s="3">
        <f>(I13-K13)/I13</f>
        <v>0.45264083314773401</v>
      </c>
      <c r="L14" s="3">
        <f>(J13-L13)/J13</f>
        <v>0.45033596494556205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2026-04-13T18:32:33Z</dcterms:created>
  <dcterms:modified xsi:type="dcterms:W3CDTF">2026-04-21T19:15:47Z</dcterms:modified>
</cp:coreProperties>
</file>