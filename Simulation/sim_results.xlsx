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"/>
    </mc:Choice>
  </mc:AlternateContent>
  <xr:revisionPtr revIDLastSave="0" documentId="13_ncr:1_{79EA74C7-5BD1-45FA-AAF8-93E905FFACBB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14" i="1" l="1"/>
  <c r="I14" i="1"/>
  <c r="E14" i="1"/>
  <c r="C14" i="1"/>
  <c r="K13" i="1"/>
  <c r="I13" i="1"/>
  <c r="E13" i="1"/>
  <c r="C13" i="1"/>
</calcChain>
</file>

<file path=xl/sharedStrings.xml><?xml version="1.0" encoding="utf-8"?>
<sst xmlns="http://schemas.openxmlformats.org/spreadsheetml/2006/main" count="34" uniqueCount="25">
  <si>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</si>
  <si>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</si>
  <si>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</si>
  <si>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</si>
  <si>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</si>
  <si>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</si>
  <si>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fae_train_mse_final_clean</t>
  </si>
  <si>
    <t>fae_val_mse_final_clean</t>
  </si>
  <si>
    <t>fpca_fore_relMSE_vs_clean</t>
  </si>
  <si>
    <t>fpca_fore_relMSE_vs_noisy</t>
  </si>
  <si>
    <t>fae_fore_relMSE_vs_clean</t>
  </si>
  <si>
    <t>fae_fore_relMSE_vs_noisy</t>
  </si>
  <si>
    <t>map_mode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</si>
  <si>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</si>
  <si>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</si>
  <si>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</si>
  <si>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</si>
  <si>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</si>
  <si>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</si>
  <si>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</si>
  <si>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</si>
  <si>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</si>
  <si>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nonlinear</t>
  </si>
  <si>
    <t>R^2</t>
  </si>
  <si>
    <t>Relative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</si>
</sst>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</font>
    <font>
      <b/>
      <sz val="11"/>
      <color theme="5"/>
      <name val="Calibri"/>
      <family val="2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Reconstruction</a:t>
            </a:r>
            <a:r>
              <a:rPr lang="en-US" baseline="0"/>
              <a:t> Errors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fpca_recon_relMSE_vs_clean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0.1171807795763016</c:v>
                </c:pt>
                <c:pt idx="1">
                  <c:v>0.1161510869860649</c:v>
                </c:pt>
                <c:pt idx="2">
                  <c:v>0.1149157285690308</c:v>
                </c:pt>
                <c:pt idx="3">
                  <c:v>0.11646696180105209</c:v>
                </c:pt>
                <c:pt idx="4">
                  <c:v>0.1144421920180321</c:v>
                </c:pt>
                <c:pt idx="5">
                  <c:v>0.1129489839076996</c:v>
                </c:pt>
                <c:pt idx="6">
                  <c:v>0.11407105624675749</c:v>
                </c:pt>
                <c:pt idx="7">
                  <c:v>0.1151083558797836</c:v>
                </c:pt>
                <c:pt idx="8">
                  <c:v>0.1185520440340042</c:v>
                </c:pt>
                <c:pt idx="9">
                  <c:v>0.1178816184401512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4-4A6B-B3AA-7D385C605CF5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fae_recon_relMSE_vs_clean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3.158409520983696E-2</c:v>
                </c:pt>
                <c:pt idx="1">
                  <c:v>3.3564105629920959E-2</c:v>
                </c:pt>
                <c:pt idx="2">
                  <c:v>2.5469556450843811E-2</c:v>
                </c:pt>
                <c:pt idx="3">
                  <c:v>2.567918598651886E-2</c:v>
                </c:pt>
                <c:pt idx="4">
                  <c:v>8.5102669894695282E-2</c:v>
                </c:pt>
                <c:pt idx="5">
                  <c:v>7.6155297458171844E-2</c:v>
                </c:pt>
                <c:pt idx="6">
                  <c:v>5.2536472678184509E-2</c:v>
                </c:pt>
                <c:pt idx="7">
                  <c:v>3.066042065620422E-2</c:v>
                </c:pt>
                <c:pt idx="8">
                  <c:v>3.4514676779508591E-2</c:v>
                </c:pt>
                <c:pt idx="9">
                  <c:v>4.0906652808189392E-2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4-4A6B-B3AA-7D385C605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204912"/>
        <c:axId val="349498384"/>
      </c:lineChart>
      <c:catAx>
        <c:axId val="430204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498384"/>
        <c:crosses val="autoZero"/>
        <c:auto val="1"/>
        <c:lblAlgn val="ctr"/>
        <c:lblOffset val="100"/>
        <c:noMultiLvlLbl val="0"/>
      </c:catAx>
      <c:valAx>
        <c:axId val="3494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0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Errors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0.31091812252998352</c:v>
                </c:pt>
                <c:pt idx="1">
                  <c:v>0.25734764337539667</c:v>
                </c:pt>
                <c:pt idx="2">
                  <c:v>0.3447546660900116</c:v>
                </c:pt>
                <c:pt idx="3">
                  <c:v>0.31378838419914251</c:v>
                </c:pt>
                <c:pt idx="4">
                  <c:v>0.35720768570899958</c:v>
                </c:pt>
                <c:pt idx="5">
                  <c:v>0.35838437080383301</c:v>
                </c:pt>
                <c:pt idx="6">
                  <c:v>0.35227534174919128</c:v>
                </c:pt>
                <c:pt idx="7">
                  <c:v>0.30571910738945007</c:v>
                </c:pt>
                <c:pt idx="8">
                  <c:v>0.33608931303024292</c:v>
                </c:pt>
                <c:pt idx="9">
                  <c:v>0.3493974506855011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F-4943-9F6F-106739D59FB2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0.20507299900054929</c:v>
                </c:pt>
                <c:pt idx="1">
                  <c:v>0.15267570316791529</c:v>
                </c:pt>
                <c:pt idx="2">
                  <c:v>0.21326328814029691</c:v>
                </c:pt>
                <c:pt idx="3">
                  <c:v>0.19132603704929349</c:v>
                </c:pt>
                <c:pt idx="4">
                  <c:v>0.22714200615882871</c:v>
                </c:pt>
                <c:pt idx="5">
                  <c:v>0.23626916110515589</c:v>
                </c:pt>
                <c:pt idx="6">
                  <c:v>0.22071002423763281</c:v>
                </c:pt>
                <c:pt idx="7">
                  <c:v>0.18419185280799871</c:v>
                </c:pt>
                <c:pt idx="8">
                  <c:v>0.1999839246273041</c:v>
                </c:pt>
                <c:pt idx="9">
                  <c:v>0.2265363484621048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F-4943-9F6F-106739D59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96880"/>
        <c:axId val="434535952"/>
      </c:lineChart>
      <c:catAx>
        <c:axId val="44009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35952"/>
        <c:crosses val="autoZero"/>
        <c:auto val="1"/>
        <c:lblAlgn val="ctr"/>
        <c:lblOffset val="100"/>
        <c:noMultiLvlLbl val="0"/>
      </c:catAx>
      <c:valAx>
        <c:axId val="4345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</xdr:colOff>
      <xdr:row>16</xdr:row>
      <xdr:rowOff>2857</xdr:rowOff>
    </xdr:from>
    <xdr:to>
      <xdr:col>7</xdr:col>
      <xdr:colOff>445770</xdr:colOff>
      <xdr:row>31</xdr:row>
      <xdr:rowOff>40957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37FEF-9FF7-42AB-9E52-EA49CDD24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481965</xdr:colOff>
      <xdr:row>15</xdr:row>
      <xdr:rowOff>174307</xdr:rowOff>
    </xdr:from>
    <xdr:to>
      <xdr:col>16</xdr:col>
      <xdr:colOff>590550</xdr:colOff>
      <xdr:row>31</xdr:row>
      <xdr:rowOff>40957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8B0593-9235-45FB-9EB6-AD9CDAE60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showGridLines="0" tabSelected="1" workbookViewId="0">
      <selection activeCell="L1" sqref="L1"/>
    </sheetView>
  </sheetViews>
  <sheetFormatPr defaultRowHeight="14.4" x14ac:dyDescent="0.3"/>
  <cols>
    <col min="2" max="2" width="12.21875" bestFit="1" customWidth="1"/>
    <col min="14" max="15" width="4" bestFit="1" customWidth="1"/>
    <col min="16" max="16" width="2.109375" bestFit="1" customWidth="1"/>
    <col min="17" max="17" width="8.77734375" bestFit="1" customWidth="1"/>
    <col min="18" max="18" width="6.77734375" bestFit="1" customWidth="1"/>
    <col min="19" max="19" width="7.44140625" bestFit="1" customWidth="1"/>
    <col min="20" max="20" width="8.5546875" bestFit="1" customWidth="1"/>
  </cols>
  <sheetData>
    <row r="1" spans="1:22" s="2" customFormat="1" ht="57.6" x14ac:dyDescent="0.3">
      <c r="A1" s="1" t="s">
        <v>0</v>
      </c>
      <c r="B1" s="1" t="s">
        <v>1</v>
      </c>
      <c r="C1" s="4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8">
        <v>1</v>
      </c>
      <c r="B2" s="8">
        <v>30001</v>
      </c>
      <c r="C2" s="8">
        <v>0.1171807795763016</v>
      </c>
      <c r="D2" s="8">
        <v>0.1178259402513504</v>
      </c>
      <c r="E2" s="8">
        <v>3.158409520983696E-2</v>
      </c>
      <c r="F2" s="8">
        <v>3.2347377389669418E-2</v>
      </c>
      <c r="G2" s="8">
        <v>2.0928235244355161E-5</v>
      </c>
      <c r="H2" s="8">
        <v>1.114715923904441E-4</v>
      </c>
      <c r="I2" s="8">
        <v>0.31091812252998352</v>
      </c>
      <c r="J2" s="8">
        <v>0.30953887104988098</v>
      </c>
      <c r="K2" s="8">
        <v>0.20507299900054929</v>
      </c>
      <c r="L2" s="8">
        <v>0.20698726177215579</v>
      </c>
      <c r="M2" s="8" t="s">
        <v>22</v>
      </c>
      <c r="N2" s="8">
        <v>500</v>
      </c>
      <c r="O2" s="8">
        <v>100</v>
      </c>
      <c r="P2" s="8">
        <v>5</v>
      </c>
      <c r="Q2" s="8">
        <v>1E-3</v>
      </c>
      <c r="R2" s="8">
        <v>1</v>
      </c>
      <c r="S2" s="8">
        <v>5</v>
      </c>
      <c r="T2" s="8">
        <v>3</v>
      </c>
      <c r="U2" s="8">
        <v>45</v>
      </c>
      <c r="V2" s="8">
        <v>45</v>
      </c>
    </row>
    <row r="3" spans="1:22" x14ac:dyDescent="0.3">
      <c r="A3" s="8">
        <v>2</v>
      </c>
      <c r="B3" s="8">
        <v>30002</v>
      </c>
      <c r="C3" s="8">
        <v>0.1161510869860649</v>
      </c>
      <c r="D3" s="8">
        <v>0.1169094145298004</v>
      </c>
      <c r="E3" s="8">
        <v>3.3564105629920959E-2</v>
      </c>
      <c r="F3" s="8">
        <v>3.436780720949173E-2</v>
      </c>
      <c r="G3" s="8">
        <v>2.5836552595137618E-5</v>
      </c>
      <c r="H3" s="8">
        <v>9.759942622622475E-5</v>
      </c>
      <c r="I3" s="8">
        <v>0.25734764337539667</v>
      </c>
      <c r="J3" s="8">
        <v>0.26156789064407349</v>
      </c>
      <c r="K3" s="8">
        <v>0.15267570316791529</v>
      </c>
      <c r="L3" s="8">
        <v>0.15612752735614779</v>
      </c>
      <c r="M3" s="8" t="s">
        <v>22</v>
      </c>
      <c r="N3" s="8">
        <v>500</v>
      </c>
      <c r="O3" s="8">
        <v>100</v>
      </c>
      <c r="P3" s="8">
        <v>5</v>
      </c>
      <c r="Q3" s="8">
        <v>1E-3</v>
      </c>
      <c r="R3" s="8">
        <v>1</v>
      </c>
      <c r="S3" s="8">
        <v>5</v>
      </c>
      <c r="T3" s="8">
        <v>3</v>
      </c>
      <c r="U3" s="8">
        <v>45</v>
      </c>
      <c r="V3" s="8">
        <v>45</v>
      </c>
    </row>
    <row r="4" spans="1:22" x14ac:dyDescent="0.3">
      <c r="A4" s="8">
        <v>3</v>
      </c>
      <c r="B4" s="8">
        <v>30003</v>
      </c>
      <c r="C4" s="8">
        <v>0.1149157285690308</v>
      </c>
      <c r="D4" s="8">
        <v>0.1156478449702263</v>
      </c>
      <c r="E4" s="8">
        <v>2.5469556450843811E-2</v>
      </c>
      <c r="F4" s="8">
        <v>2.6319954544305801E-2</v>
      </c>
      <c r="G4" s="8">
        <v>1.638458888919558E-5</v>
      </c>
      <c r="H4" s="8">
        <v>9.2425456386990845E-5</v>
      </c>
      <c r="I4" s="8">
        <v>0.3447546660900116</v>
      </c>
      <c r="J4" s="8">
        <v>0.34946280717849731</v>
      </c>
      <c r="K4" s="8">
        <v>0.21326328814029691</v>
      </c>
      <c r="L4" s="8">
        <v>0.21722245216369629</v>
      </c>
      <c r="M4" s="8" t="s">
        <v>22</v>
      </c>
      <c r="N4" s="8">
        <v>500</v>
      </c>
      <c r="O4" s="8">
        <v>100</v>
      </c>
      <c r="P4" s="8">
        <v>5</v>
      </c>
      <c r="Q4" s="8">
        <v>1E-3</v>
      </c>
      <c r="R4" s="8">
        <v>1</v>
      </c>
      <c r="S4" s="8">
        <v>5</v>
      </c>
      <c r="T4" s="8">
        <v>3</v>
      </c>
      <c r="U4" s="8">
        <v>45</v>
      </c>
      <c r="V4" s="8">
        <v>45</v>
      </c>
    </row>
    <row r="5" spans="1:22" x14ac:dyDescent="0.3">
      <c r="A5" s="8">
        <v>4</v>
      </c>
      <c r="B5" s="8">
        <v>30004</v>
      </c>
      <c r="C5" s="8">
        <v>0.11646696180105209</v>
      </c>
      <c r="D5" s="8">
        <v>0.1172283962368965</v>
      </c>
      <c r="E5" s="8">
        <v>2.567918598651886E-2</v>
      </c>
      <c r="F5" s="8">
        <v>2.6538008823990818E-2</v>
      </c>
      <c r="G5" s="8">
        <v>1.5767867807880979E-5</v>
      </c>
      <c r="H5" s="8">
        <v>9.6977513749152422E-5</v>
      </c>
      <c r="I5" s="8">
        <v>0.31378838419914251</v>
      </c>
      <c r="J5" s="8">
        <v>0.31843486428260798</v>
      </c>
      <c r="K5" s="8">
        <v>0.19132603704929349</v>
      </c>
      <c r="L5" s="8">
        <v>0.19531804323196411</v>
      </c>
      <c r="M5" s="8" t="s">
        <v>22</v>
      </c>
      <c r="N5" s="8">
        <v>500</v>
      </c>
      <c r="O5" s="8">
        <v>100</v>
      </c>
      <c r="P5" s="8">
        <v>5</v>
      </c>
      <c r="Q5" s="8">
        <v>1E-3</v>
      </c>
      <c r="R5" s="8">
        <v>1</v>
      </c>
      <c r="S5" s="8">
        <v>5</v>
      </c>
      <c r="T5" s="8">
        <v>3</v>
      </c>
      <c r="U5" s="8">
        <v>45</v>
      </c>
      <c r="V5" s="8">
        <v>45</v>
      </c>
    </row>
    <row r="6" spans="1:22" x14ac:dyDescent="0.3">
      <c r="A6" s="8">
        <v>5</v>
      </c>
      <c r="B6" s="8">
        <v>30005</v>
      </c>
      <c r="C6" s="8">
        <v>0.1144421920180321</v>
      </c>
      <c r="D6" s="8">
        <v>0.115203469991684</v>
      </c>
      <c r="E6" s="8">
        <v>8.5102669894695282E-2</v>
      </c>
      <c r="F6" s="8">
        <v>8.5759855806827545E-2</v>
      </c>
      <c r="G6" s="8">
        <v>9.1807050921488553E-5</v>
      </c>
      <c r="H6" s="8">
        <v>9.990154649131E-5</v>
      </c>
      <c r="I6" s="8">
        <v>0.35720768570899958</v>
      </c>
      <c r="J6" s="8">
        <v>0.36208018660545349</v>
      </c>
      <c r="K6" s="8">
        <v>0.22714200615882871</v>
      </c>
      <c r="L6" s="8">
        <v>0.23124136030673981</v>
      </c>
      <c r="M6" s="8" t="s">
        <v>22</v>
      </c>
      <c r="N6" s="8">
        <v>500</v>
      </c>
      <c r="O6" s="8">
        <v>100</v>
      </c>
      <c r="P6" s="8">
        <v>5</v>
      </c>
      <c r="Q6" s="8">
        <v>1E-3</v>
      </c>
      <c r="R6" s="8">
        <v>1</v>
      </c>
      <c r="S6" s="8">
        <v>5</v>
      </c>
      <c r="T6" s="8">
        <v>3</v>
      </c>
      <c r="U6" s="8">
        <v>45</v>
      </c>
      <c r="V6" s="8">
        <v>45</v>
      </c>
    </row>
    <row r="7" spans="1:22" x14ac:dyDescent="0.3">
      <c r="A7" s="8">
        <v>6</v>
      </c>
      <c r="B7" s="8">
        <v>30006</v>
      </c>
      <c r="C7" s="8">
        <v>0.1129489839076996</v>
      </c>
      <c r="D7" s="8">
        <v>0.11369761079549789</v>
      </c>
      <c r="E7" s="8">
        <v>7.6155297458171844E-2</v>
      </c>
      <c r="F7" s="8">
        <v>7.6979152858257294E-2</v>
      </c>
      <c r="G7" s="8">
        <v>7.8100187238305807E-5</v>
      </c>
      <c r="H7" s="8">
        <v>1.1338959302520379E-4</v>
      </c>
      <c r="I7" s="8">
        <v>0.35838437080383301</v>
      </c>
      <c r="J7" s="8">
        <v>0.36319929361343378</v>
      </c>
      <c r="K7" s="8">
        <v>0.23626916110515589</v>
      </c>
      <c r="L7" s="8">
        <v>0.24072021245956421</v>
      </c>
      <c r="M7" s="8" t="s">
        <v>22</v>
      </c>
      <c r="N7" s="8">
        <v>500</v>
      </c>
      <c r="O7" s="8">
        <v>100</v>
      </c>
      <c r="P7" s="8">
        <v>5</v>
      </c>
      <c r="Q7" s="8">
        <v>1E-3</v>
      </c>
      <c r="R7" s="8">
        <v>1</v>
      </c>
      <c r="S7" s="8">
        <v>5</v>
      </c>
      <c r="T7" s="8">
        <v>3</v>
      </c>
      <c r="U7" s="8">
        <v>45</v>
      </c>
      <c r="V7" s="8">
        <v>45</v>
      </c>
    </row>
    <row r="8" spans="1:22" x14ac:dyDescent="0.3">
      <c r="A8" s="8">
        <v>7</v>
      </c>
      <c r="B8" s="8">
        <v>30007</v>
      </c>
      <c r="C8" s="8">
        <v>0.11407105624675749</v>
      </c>
      <c r="D8" s="8">
        <v>0.1148358061909676</v>
      </c>
      <c r="E8" s="8">
        <v>5.2536472678184509E-2</v>
      </c>
      <c r="F8" s="8">
        <v>5.3366281092166901E-2</v>
      </c>
      <c r="G8" s="8">
        <v>5.0296963308937848E-5</v>
      </c>
      <c r="H8" s="8">
        <v>9.8410433565732092E-5</v>
      </c>
      <c r="I8" s="8">
        <v>0.35227534174919128</v>
      </c>
      <c r="J8" s="8">
        <v>0.35715433955192571</v>
      </c>
      <c r="K8" s="8">
        <v>0.22071002423763281</v>
      </c>
      <c r="L8" s="8">
        <v>0.22505734860897059</v>
      </c>
      <c r="M8" s="8" t="s">
        <v>22</v>
      </c>
      <c r="N8" s="8">
        <v>500</v>
      </c>
      <c r="O8" s="8">
        <v>100</v>
      </c>
      <c r="P8" s="8">
        <v>5</v>
      </c>
      <c r="Q8" s="8">
        <v>1E-3</v>
      </c>
      <c r="R8" s="8">
        <v>1</v>
      </c>
      <c r="S8" s="8">
        <v>5</v>
      </c>
      <c r="T8" s="8">
        <v>3</v>
      </c>
      <c r="U8" s="8">
        <v>45</v>
      </c>
      <c r="V8" s="8">
        <v>45</v>
      </c>
    </row>
    <row r="9" spans="1:22" x14ac:dyDescent="0.3">
      <c r="A9" s="8">
        <v>8</v>
      </c>
      <c r="B9" s="8">
        <v>30008</v>
      </c>
      <c r="C9" s="8">
        <v>0.1151083558797836</v>
      </c>
      <c r="D9" s="8">
        <v>0.1158600077033043</v>
      </c>
      <c r="E9" s="8">
        <v>3.066042065620422E-2</v>
      </c>
      <c r="F9" s="8">
        <v>3.1503282487392432E-2</v>
      </c>
      <c r="G9" s="8">
        <v>2.2395091946236789E-5</v>
      </c>
      <c r="H9" s="8">
        <v>9.6307601779699326E-5</v>
      </c>
      <c r="I9" s="8">
        <v>0.30571910738945007</v>
      </c>
      <c r="J9" s="8">
        <v>0.31029814481735229</v>
      </c>
      <c r="K9" s="8">
        <v>0.18419185280799871</v>
      </c>
      <c r="L9" s="8">
        <v>0.1880994588136673</v>
      </c>
      <c r="M9" s="8" t="s">
        <v>22</v>
      </c>
      <c r="N9" s="8">
        <v>500</v>
      </c>
      <c r="O9" s="8">
        <v>100</v>
      </c>
      <c r="P9" s="8">
        <v>5</v>
      </c>
      <c r="Q9" s="8">
        <v>1E-3</v>
      </c>
      <c r="R9" s="8">
        <v>1</v>
      </c>
      <c r="S9" s="8">
        <v>5</v>
      </c>
      <c r="T9" s="8">
        <v>3</v>
      </c>
      <c r="U9" s="8">
        <v>45</v>
      </c>
      <c r="V9" s="8">
        <v>45</v>
      </c>
    </row>
    <row r="10" spans="1:22" x14ac:dyDescent="0.3">
      <c r="A10" s="8">
        <v>9</v>
      </c>
      <c r="B10" s="8">
        <v>30009</v>
      </c>
      <c r="C10" s="8">
        <v>0.1185520440340042</v>
      </c>
      <c r="D10" s="8">
        <v>0.1193290576338768</v>
      </c>
      <c r="E10" s="8">
        <v>3.4514676779508591E-2</v>
      </c>
      <c r="F10" s="8">
        <v>3.5374142229557037E-2</v>
      </c>
      <c r="G10" s="8">
        <v>2.8072816348867491E-5</v>
      </c>
      <c r="H10" s="8">
        <v>9.1515896201599389E-5</v>
      </c>
      <c r="I10" s="8">
        <v>0.33608931303024292</v>
      </c>
      <c r="J10" s="8">
        <v>0.3406718373298645</v>
      </c>
      <c r="K10" s="8">
        <v>0.1999839246273041</v>
      </c>
      <c r="L10" s="8">
        <v>0.20350104570388791</v>
      </c>
      <c r="M10" s="8" t="s">
        <v>22</v>
      </c>
      <c r="N10" s="8">
        <v>500</v>
      </c>
      <c r="O10" s="8">
        <v>100</v>
      </c>
      <c r="P10" s="8">
        <v>5</v>
      </c>
      <c r="Q10" s="8">
        <v>1E-3</v>
      </c>
      <c r="R10" s="8">
        <v>1</v>
      </c>
      <c r="S10" s="8">
        <v>5</v>
      </c>
      <c r="T10" s="8">
        <v>3</v>
      </c>
      <c r="U10" s="8">
        <v>45</v>
      </c>
      <c r="V10" s="8">
        <v>45</v>
      </c>
    </row>
    <row r="11" spans="1:22" x14ac:dyDescent="0.3">
      <c r="A11" s="8">
        <v>10</v>
      </c>
      <c r="B11" s="8">
        <v>30010</v>
      </c>
      <c r="C11" s="8">
        <v>0.1178816184401512</v>
      </c>
      <c r="D11" s="8">
        <v>0.11862734705209731</v>
      </c>
      <c r="E11" s="8">
        <v>4.0906652808189392E-2</v>
      </c>
      <c r="F11" s="8">
        <v>4.1718963533639908E-2</v>
      </c>
      <c r="G11" s="8">
        <v>3.5320288588991389E-5</v>
      </c>
      <c r="H11" s="8">
        <v>9.7840129456017166E-5</v>
      </c>
      <c r="I11" s="8">
        <v>0.3493974506855011</v>
      </c>
      <c r="J11" s="8">
        <v>0.35426220297813421</v>
      </c>
      <c r="K11" s="8">
        <v>0.2265363484621048</v>
      </c>
      <c r="L11" s="8">
        <v>0.23095965385437009</v>
      </c>
      <c r="M11" s="8" t="s">
        <v>22</v>
      </c>
      <c r="N11" s="8">
        <v>500</v>
      </c>
      <c r="O11" s="8">
        <v>100</v>
      </c>
      <c r="P11" s="8">
        <v>5</v>
      </c>
      <c r="Q11" s="8">
        <v>1E-3</v>
      </c>
      <c r="R11" s="8">
        <v>1</v>
      </c>
      <c r="S11" s="8">
        <v>5</v>
      </c>
      <c r="T11" s="8">
        <v>3</v>
      </c>
      <c r="U11" s="8">
        <v>45</v>
      </c>
      <c r="V11" s="8">
        <v>45</v>
      </c>
    </row>
    <row r="13" spans="1:22" s="3" customFormat="1" x14ac:dyDescent="0.3">
      <c r="B13" s="3" t="s">
        <v>24</v>
      </c>
      <c r="C13" s="7">
        <f>AVERAGE(C2:C11)</f>
        <v>0.11577188074588776</v>
      </c>
      <c r="E13" s="6">
        <f>AVERAGE(E2:E11)</f>
        <v>4.3617313355207445E-2</v>
      </c>
      <c r="I13" s="7">
        <f>AVERAGE(I2:I11)</f>
        <v>0.32858820855617521</v>
      </c>
      <c r="K13" s="6">
        <f>AVERAGE(K2:K11)</f>
        <v>0.205717134475708</v>
      </c>
    </row>
    <row r="14" spans="1:22" x14ac:dyDescent="0.3">
      <c r="B14" s="3" t="s">
        <v>23</v>
      </c>
      <c r="C14" s="7">
        <f>1-C13</f>
        <v>0.88422811925411227</v>
      </c>
      <c r="E14" s="6">
        <f>1-E13</f>
        <v>0.95638268664479253</v>
      </c>
      <c r="I14" s="7">
        <f>1-I13</f>
        <v>0.67141179144382479</v>
      </c>
      <c r="K14" s="6">
        <f>1-K13</f>
        <v>0.79428286552429195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2026-04-02T23:56:28Z</dcterms:created>
  <dcterms:modified xsi:type="dcterms:W3CDTF">2026-04-03T00:33:52Z</dcterms:modified>
</cp:coreProperties>
</file>